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9"/>
      <sz val="12"/>
    </font>
    <font>
      <name val="Arial"/>
      <sz val="10"/>
    </font>
    <font>
      <name val="Arial"/>
      <sz val="11"/>
    </font>
    <font>
      <name val="Arial"/>
      <b val="1"/>
      <color rgb="00FFFFFF"/>
      <sz val="10"/>
    </font>
    <font>
      <name val="Arial"/>
      <b val="1"/>
      <color rgb="001A1A1A"/>
      <sz val="10"/>
    </font>
    <font>
      <name val="Arial"/>
      <b val="1"/>
      <color rgb="001F4E79"/>
      <sz val="10"/>
    </font>
    <font>
      <name val="Arial"/>
      <i val="1"/>
      <color rgb="006B7280"/>
      <sz val="9"/>
    </font>
    <font>
      <name val="Arial"/>
      <color rgb="000563C1"/>
      <sz val="10"/>
      <u val="single"/>
    </font>
    <font>
      <name val="Arial"/>
      <color rgb="009AA0A6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F2F6FC"/>
      </patternFill>
    </fill>
    <fill>
      <patternFill patternType="solid">
        <fgColor rgb="0034A853"/>
      </patternFill>
    </fill>
    <fill>
      <patternFill patternType="solid">
        <fgColor rgb="00D93025"/>
      </patternFill>
    </fill>
    <fill>
      <patternFill patternType="solid">
        <fgColor rgb="00F2C037"/>
      </patternFill>
    </fill>
  </fills>
  <borders count="7">
    <border>
      <left/>
      <right/>
      <top/>
      <bottom/>
      <diagonal/>
    </border>
    <border>
      <left style="thin">
        <color rgb="008EA9C1"/>
      </left>
      <right style="thin">
        <color rgb="008EA9C1"/>
      </right>
      <top style="medium">
        <color rgb="001F4E79"/>
      </top>
      <bottom style="medium">
        <color rgb="001F4E79"/>
      </bottom>
    </border>
    <border>
      <left style="thin">
        <color rgb="008EA9C1"/>
      </left>
      <right style="thin">
        <color rgb="008EA9C1"/>
      </right>
      <top style="thin">
        <color rgb="008EA9C1"/>
      </top>
      <bottom style="thin">
        <color rgb="008EA9C1"/>
      </bottom>
    </border>
    <border>
      <left style="thin">
        <color rgb="008EA9C1"/>
      </left>
      <right/>
      <top/>
      <bottom/>
      <diagonal/>
    </border>
    <border>
      <left style="thin">
        <color rgb="008EA9C1"/>
      </left>
      <right style="thin">
        <color rgb="008EA9C1"/>
      </right>
      <top/>
      <bottom/>
      <diagonal/>
    </border>
    <border>
      <left style="thin">
        <color rgb="008EA9C1"/>
      </left>
      <right style="thin">
        <color rgb="008EA9C1"/>
      </right>
      <top/>
      <bottom style="thin">
        <color rgb="008EA9C1"/>
      </bottom>
      <diagonal/>
    </border>
    <border>
      <left style="thin">
        <color rgb="008EA9C1"/>
      </left>
      <right style="thin">
        <color rgb="008EA9C1"/>
      </right>
      <top style="thin">
        <color rgb="008EA9C1"/>
      </top>
      <bottom style="medium">
        <color rgb="001F4E7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0" fillId="0" borderId="4" pivotButton="0" quotePrefix="0" xfId="0"/>
    <xf numFmtId="0" fontId="5" fillId="6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0" fillId="0" borderId="6" pivotButton="0" quotePrefix="0" xfId="0"/>
    <xf numFmtId="0" fontId="3" fillId="0" borderId="6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4" fillId="4" borderId="6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7" fillId="0" borderId="0" pivotButton="0" quotePrefix="0" xfId="0"/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0" borderId="6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top" wrapText="1"/>
    </xf>
    <xf numFmtId="0" fontId="9" fillId="0" borderId="2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8" customWidth="1" min="8" max="8"/>
    <col width="22" customWidth="1" min="9" max="9"/>
    <col width="26" customWidth="1" min="10" max="10"/>
  </cols>
  <sheetData>
    <row r="1" ht="30" customHeight="1">
      <c r="A1" s="1" t="inlineStr">
        <is>
          <t>Part</t>
        </is>
      </c>
      <c r="B1" s="1" t="inlineStr">
        <is>
          <t>Topic</t>
        </is>
      </c>
      <c r="C1" s="1" t="inlineStr">
        <is>
          <t>Theory Lectures</t>
        </is>
      </c>
      <c r="D1" s="1" t="inlineStr">
        <is>
          <t>PYQ</t>
        </is>
      </c>
      <c r="E1" s="1" t="inlineStr">
        <is>
          <t>Module</t>
        </is>
      </c>
      <c r="F1" s="1" t="inlineStr">
        <is>
          <t>Short Notes</t>
        </is>
      </c>
      <c r="G1" s="1" t="inlineStr">
        <is>
          <t>Book</t>
        </is>
      </c>
      <c r="H1" s="1" t="inlineStr">
        <is>
          <t>Study Mode</t>
        </is>
      </c>
      <c r="I1" s="1" t="inlineStr">
        <is>
          <t>Links to One-Shot</t>
        </is>
      </c>
      <c r="J1" s="1" t="inlineStr">
        <is>
          <t>Links to One-Shot Backup</t>
        </is>
      </c>
    </row>
    <row r="2" ht="22" customHeight="1">
      <c r="A2" s="2" t="inlineStr">
        <is>
          <t>PART 1</t>
        </is>
      </c>
      <c r="B2" s="3" t="inlineStr">
        <is>
          <t>Units and Measurements</t>
        </is>
      </c>
      <c r="C2" s="4" t="n"/>
      <c r="D2" s="5" t="n"/>
      <c r="E2" s="4" t="n"/>
      <c r="F2" s="5" t="n"/>
      <c r="G2" s="4" t="n"/>
      <c r="H2" s="6" t="inlineStr">
        <is>
          <t>One-Shot</t>
        </is>
      </c>
      <c r="I2" s="26">
        <f>HYPERLINK("https://www.youtube.com/results?search_query=Saleem+Sir+Units%2C+Dimensions+%26+Errors+one+shot+JEE+Main+Advanced","Watch ▶")</f>
        <v/>
      </c>
      <c r="J2" s="26">
        <f>HYPERLINK("https://www.youtube.com/results?search_query=Saleem+Sir+Units%2C+Dimensions+%26+Errors+revision+PYQ+marathon+JEE","Watch ▶")</f>
        <v/>
      </c>
    </row>
    <row r="3" ht="22" customHeight="1">
      <c r="A3" s="7" t="n"/>
      <c r="B3" s="3" t="inlineStr">
        <is>
          <t>Vectors and Relative Motion</t>
        </is>
      </c>
      <c r="C3" s="4" t="n"/>
      <c r="D3" s="5" t="n"/>
      <c r="E3" s="4" t="n"/>
      <c r="F3" s="5" t="n"/>
      <c r="G3" s="4" t="n"/>
      <c r="H3" s="8" t="inlineStr">
        <is>
          <t>Lectures</t>
        </is>
      </c>
      <c r="I3" s="26">
        <f>HYPERLINK("https://www.youtube.com/results?search_query=Saleem+Sir+Kinematics+%281D+%2B+2D%29+one+shot+JEE+Main+Advanced","Watch ▶")</f>
        <v/>
      </c>
      <c r="J3" s="26">
        <f>HYPERLINK("https://www.youtube.com/results?search_query=Saleem+Sir+Kinematics+%281D+%2B+2D%29+revision+PYQ+marathon+JEE","Watch ▶")</f>
        <v/>
      </c>
    </row>
    <row r="4" ht="22" customHeight="1">
      <c r="A4" s="7" t="n"/>
      <c r="B4" s="3" t="inlineStr">
        <is>
          <t>Motion in 1D and 2D</t>
        </is>
      </c>
      <c r="C4" s="4" t="n"/>
      <c r="D4" s="5" t="n"/>
      <c r="E4" s="4" t="n"/>
      <c r="F4" s="5" t="n"/>
      <c r="G4" s="4" t="n"/>
      <c r="H4" s="8" t="inlineStr">
        <is>
          <t>Lectures</t>
        </is>
      </c>
      <c r="I4" s="26">
        <f>HYPERLINK("https://www.youtube.com/results?search_query=Saleem+Sir+Kinematics+%281D+%2B+2D%29+one+shot+JEE+Main+Advanced","Watch ▶")</f>
        <v/>
      </c>
      <c r="J4" s="26">
        <f>HYPERLINK("https://www.youtube.com/results?search_query=Saleem+Sir+Kinematics+%281D+%2B+2D%29+revision+PYQ+marathon+JEE","Watch ▶")</f>
        <v/>
      </c>
    </row>
    <row r="5" ht="22" customHeight="1">
      <c r="A5" s="7" t="n"/>
      <c r="B5" s="3" t="inlineStr">
        <is>
          <t>Mole Concept</t>
        </is>
      </c>
      <c r="C5" s="4" t="n"/>
      <c r="D5" s="5" t="n"/>
      <c r="E5" s="4" t="n"/>
      <c r="F5" s="5" t="n"/>
      <c r="G5" s="4" t="n"/>
      <c r="H5" s="8" t="inlineStr">
        <is>
          <t>Lectures</t>
        </is>
      </c>
      <c r="I5" s="26">
        <f>HYPERLINK("https://www.youtube.com/results?search_query=Faisal+Sir+Mole+Concept+%2F+Stoichiometry+one+shot+JEE+Main+Advanced","Watch ▶")</f>
        <v/>
      </c>
      <c r="J5" s="26">
        <f>HYPERLINK("https://www.youtube.com/results?search_query=Faisal+Sir+Mole+Concept+%2F+Stoichiometry+revision+PYQ+marathon+JEE","Watch ▶")</f>
        <v/>
      </c>
    </row>
    <row r="6" ht="22" customHeight="1">
      <c r="A6" s="7" t="n"/>
      <c r="B6" s="3" t="inlineStr">
        <is>
          <t>Structure of Atom</t>
        </is>
      </c>
      <c r="C6" s="4" t="n"/>
      <c r="D6" s="5" t="n"/>
      <c r="E6" s="4" t="n"/>
      <c r="F6" s="5" t="n"/>
      <c r="G6" s="4" t="n"/>
      <c r="H6" s="6" t="inlineStr">
        <is>
          <t>One-Shot</t>
        </is>
      </c>
      <c r="I6" s="26">
        <f>HYPERLINK("https://www.youtube.com/results?search_query=Faisal+Sir+Atomic+Structure+one+shot+JEE+Main+Advanced","Watch ▶")</f>
        <v/>
      </c>
      <c r="J6" s="26">
        <f>HYPERLINK("https://www.youtube.com/results?search_query=Faisal+Sir+Atomic+Structure+revision+PYQ+marathon+JEE","Watch ▶")</f>
        <v/>
      </c>
    </row>
    <row r="7" ht="22" customHeight="1">
      <c r="A7" s="7" t="n"/>
      <c r="B7" s="3" t="inlineStr">
        <is>
          <t>Basic Mathematics</t>
        </is>
      </c>
      <c r="C7" s="4" t="n"/>
      <c r="D7" s="5" t="n"/>
      <c r="E7" s="4" t="n"/>
      <c r="F7" s="5" t="n"/>
      <c r="G7" s="4" t="n"/>
      <c r="H7" s="9" t="inlineStr">
        <is>
          <t>One-Shot (Long)</t>
        </is>
      </c>
      <c r="I7" s="26">
        <f>HYPERLINK("https://www.youtube.com/results?search_query=Basic+Mathematics+one+shot+JEE+Main+Advanced","Watch ▶")</f>
        <v/>
      </c>
      <c r="J7" s="26">
        <f>HYPERLINK("https://www.youtube.com/results?search_query=Basic+Mathematics+revision+PYQ+marathon+JEE","Watch ▶")</f>
        <v/>
      </c>
    </row>
    <row r="8" ht="22" customHeight="1">
      <c r="A8" s="23" t="n"/>
      <c r="B8" s="11" t="inlineStr">
        <is>
          <t>Quadratic Equation</t>
        </is>
      </c>
      <c r="C8" s="12" t="n"/>
      <c r="D8" s="13" t="n"/>
      <c r="E8" s="12" t="n"/>
      <c r="F8" s="13" t="n"/>
      <c r="G8" s="12" t="n"/>
      <c r="H8" s="14" t="inlineStr">
        <is>
          <t>Lectures</t>
        </is>
      </c>
      <c r="I8" s="27">
        <f>HYPERLINK("https://www.youtube.com/results?search_query=TK+Sir+Quadratic+Equations+one+shot+JEE+Main+Advanced","Watch ▶")</f>
        <v/>
      </c>
      <c r="J8" s="27">
        <f>HYPERLINK("https://www.youtube.com/results?search_query=TK+Sir+Quadratic+Equations+revision+PYQ+marathon+JEE","Watch ▶")</f>
        <v/>
      </c>
    </row>
    <row r="9" ht="22" customHeight="1">
      <c r="A9" s="2" t="inlineStr">
        <is>
          <t>PART 2</t>
        </is>
      </c>
      <c r="B9" s="3" t="inlineStr">
        <is>
          <t>Laws of Motion</t>
        </is>
      </c>
      <c r="C9" s="4" t="n"/>
      <c r="D9" s="5" t="n"/>
      <c r="E9" s="4" t="n"/>
      <c r="F9" s="5" t="n"/>
      <c r="G9" s="4" t="n"/>
      <c r="H9" s="8" t="inlineStr">
        <is>
          <t>Lectures</t>
        </is>
      </c>
      <c r="I9" s="26">
        <f>HYPERLINK("https://www.youtube.com/results?search_query=Saleem+Sir+Laws+of+Motion+%2B+Friction+one+shot+JEE+Main+Advanced","Watch ▶")</f>
        <v/>
      </c>
      <c r="J9" s="26">
        <f>HYPERLINK("https://www.youtube.com/results?search_query=Saleem+Sir+Laws+of+Motion+%2B+Friction+revision+PYQ+marathon+JEE","Watch ▶")</f>
        <v/>
      </c>
    </row>
    <row r="10" ht="22" customHeight="1">
      <c r="A10" s="7" t="n"/>
      <c r="B10" s="3" t="inlineStr">
        <is>
          <t>Work, Power and Energy</t>
        </is>
      </c>
      <c r="C10" s="4" t="n"/>
      <c r="D10" s="5" t="n"/>
      <c r="E10" s="4" t="n"/>
      <c r="F10" s="5" t="n"/>
      <c r="G10" s="4" t="n"/>
      <c r="H10" s="8" t="inlineStr">
        <is>
          <t>Lectures</t>
        </is>
      </c>
      <c r="I10" s="26">
        <f>HYPERLINK("https://www.youtube.com/results?search_query=Saleem+Sir+Work%2C+Energy+%26+Power+one+shot+JEE+Main+Advanced","Watch ▶")</f>
        <v/>
      </c>
      <c r="J10" s="26">
        <f>HYPERLINK("https://www.youtube.com/results?search_query=Saleem+Sir+Work%2C+Energy+%26+Power+revision+PYQ+marathon+JEE","Watch ▶")</f>
        <v/>
      </c>
    </row>
    <row r="11" ht="22" customHeight="1">
      <c r="A11" s="7" t="n"/>
      <c r="B11" s="3" t="inlineStr">
        <is>
          <t>Center of Mass, Linear Momentum, Collision</t>
        </is>
      </c>
      <c r="C11" s="4" t="n"/>
      <c r="D11" s="5" t="n"/>
      <c r="E11" s="4" t="n"/>
      <c r="F11" s="5" t="n"/>
      <c r="G11" s="4" t="n"/>
      <c r="H11" s="8" t="inlineStr">
        <is>
          <t>Lectures</t>
        </is>
      </c>
      <c r="I11" s="26">
        <f>HYPERLINK("https://www.youtube.com/results?search_query=Saleem+Sir+Centre+of+Mass+%2B+Collisions+one+shot+JEE+Main+Advanced","Watch ▶")</f>
        <v/>
      </c>
      <c r="J11" s="26">
        <f>HYPERLINK("https://www.youtube.com/results?search_query=Saleem+Sir+Centre+of+Mass+%2B+Collisions+revision+PYQ+marathon+JEE","Watch ▶")</f>
        <v/>
      </c>
    </row>
    <row r="12" ht="22" customHeight="1">
      <c r="A12" s="7" t="n"/>
      <c r="B12" s="3" t="inlineStr">
        <is>
          <t>Thermodynamics and Thermochemistry</t>
        </is>
      </c>
      <c r="C12" s="4" t="n"/>
      <c r="D12" s="5" t="n"/>
      <c r="E12" s="4" t="n"/>
      <c r="F12" s="5" t="n"/>
      <c r="G12" s="4" t="n"/>
      <c r="H12" s="8" t="inlineStr">
        <is>
          <t>Lectures</t>
        </is>
      </c>
      <c r="I12" s="26">
        <f>HYPERLINK("https://www.youtube.com/results?search_query=Faisal+Sir+Chemical+Thermodynamics+one+shot+JEE+Main+Advanced","Watch ▶")</f>
        <v/>
      </c>
      <c r="J12" s="26">
        <f>HYPERLINK("https://www.youtube.com/results?search_query=Faisal+Sir+Chemical+Thermodynamics+revision+PYQ+marathon+JEE","Watch ▶")</f>
        <v/>
      </c>
    </row>
    <row r="13" ht="22" customHeight="1">
      <c r="A13" s="7" t="n"/>
      <c r="B13" s="3" t="inlineStr">
        <is>
          <t>Chemical Equilibrium</t>
        </is>
      </c>
      <c r="C13" s="4" t="n"/>
      <c r="D13" s="5" t="n"/>
      <c r="E13" s="4" t="n"/>
      <c r="F13" s="5" t="n"/>
      <c r="G13" s="4" t="n"/>
      <c r="H13" s="8" t="inlineStr">
        <is>
          <t>Lectures</t>
        </is>
      </c>
      <c r="I13" s="26">
        <f>HYPERLINK("https://www.youtube.com/results?search_query=Faisal+Sir+Chemical+Equilibrium+one+shot+JEE+Main+Advanced","Watch ▶")</f>
        <v/>
      </c>
      <c r="J13" s="26">
        <f>HYPERLINK("https://www.youtube.com/results?search_query=Faisal+Sir+Chemical+Equilibrium+revision+PYQ+marathon+JEE","Watch ▶")</f>
        <v/>
      </c>
    </row>
    <row r="14" ht="22" customHeight="1">
      <c r="A14" s="7" t="n"/>
      <c r="B14" s="3" t="inlineStr">
        <is>
          <t>Sequence and Series</t>
        </is>
      </c>
      <c r="C14" s="4" t="n"/>
      <c r="D14" s="5" t="n"/>
      <c r="E14" s="4" t="n"/>
      <c r="F14" s="5" t="n"/>
      <c r="G14" s="4" t="n"/>
      <c r="H14" s="8" t="inlineStr">
        <is>
          <t>Lectures</t>
        </is>
      </c>
      <c r="I14" s="26">
        <f>HYPERLINK("https://www.youtube.com/results?search_query=TK+Sir+Sequence+%26+Series+one+shot+JEE+Main+Advanced","Watch ▶")</f>
        <v/>
      </c>
      <c r="J14" s="26">
        <f>HYPERLINK("https://www.youtube.com/results?search_query=TK+Sir+Sequence+%26+Series+revision+PYQ+marathon+JEE","Watch ▶")</f>
        <v/>
      </c>
    </row>
    <row r="15" ht="22" customHeight="1">
      <c r="A15" s="23" t="n"/>
      <c r="B15" s="11" t="inlineStr">
        <is>
          <t>Binomial Theorem</t>
        </is>
      </c>
      <c r="C15" s="12" t="n"/>
      <c r="D15" s="13" t="n"/>
      <c r="E15" s="12" t="n"/>
      <c r="F15" s="13" t="n"/>
      <c r="G15" s="12" t="n"/>
      <c r="H15" s="15" t="inlineStr">
        <is>
          <t>One-Shot</t>
        </is>
      </c>
      <c r="I15" s="27">
        <f>HYPERLINK("https://www.youtube.com/results?search_query=TK+Sir+Binomial+Theorem+one+shot+JEE+Main+Advanced","Watch ▶")</f>
        <v/>
      </c>
      <c r="J15" s="27">
        <f>HYPERLINK("https://www.youtube.com/results?search_query=TK+Sir+Binomial+Theorem+revision+PYQ+marathon+JEE","Watch ▶")</f>
        <v/>
      </c>
    </row>
    <row r="16" ht="22" customHeight="1">
      <c r="A16" s="2" t="inlineStr">
        <is>
          <t>PART 3</t>
        </is>
      </c>
      <c r="B16" s="3" t="inlineStr">
        <is>
          <t>Circular Motion and Rotational Motion</t>
        </is>
      </c>
      <c r="C16" s="4" t="n"/>
      <c r="D16" s="5" t="n"/>
      <c r="E16" s="4" t="n"/>
      <c r="F16" s="5" t="n"/>
      <c r="G16" s="4" t="n"/>
      <c r="H16" s="8" t="inlineStr">
        <is>
          <t>Lectures</t>
        </is>
      </c>
      <c r="I16" s="26">
        <f>HYPERLINK("https://www.youtube.com/results?search_query=Saleem+Sir+Rotational+Motion+one+shot+JEE+Main+Advanced","Watch ▶")</f>
        <v/>
      </c>
      <c r="J16" s="26">
        <f>HYPERLINK("https://www.youtube.com/results?search_query=Saleem+Sir+Rotational+Motion+revision+PYQ+marathon+JEE","Watch ▶")</f>
        <v/>
      </c>
    </row>
    <row r="17" ht="22" customHeight="1">
      <c r="A17" s="7" t="n"/>
      <c r="B17" s="3" t="inlineStr">
        <is>
          <t>Gravitation</t>
        </is>
      </c>
      <c r="C17" s="4" t="n"/>
      <c r="D17" s="5" t="n"/>
      <c r="E17" s="4" t="n"/>
      <c r="F17" s="5" t="n"/>
      <c r="G17" s="4" t="n"/>
      <c r="H17" s="8" t="inlineStr">
        <is>
          <t>Lectures</t>
        </is>
      </c>
      <c r="I17" s="26">
        <f>HYPERLINK("https://www.youtube.com/results?search_query=Saleem+Sir+Gravitation+one+shot+JEE+Main+Advanced","Watch ▶")</f>
        <v/>
      </c>
      <c r="J17" s="26">
        <f>HYPERLINK("https://www.youtube.com/results?search_query=Saleem+Sir+Gravitation+revision+PYQ+marathon+JEE","Watch ▶")</f>
        <v/>
      </c>
    </row>
    <row r="18" ht="22" customHeight="1">
      <c r="A18" s="7" t="n"/>
      <c r="B18" s="3" t="inlineStr">
        <is>
          <t>Ionic Equilibrium</t>
        </is>
      </c>
      <c r="C18" s="4" t="n"/>
      <c r="D18" s="5" t="n"/>
      <c r="E18" s="4" t="n"/>
      <c r="F18" s="5" t="n"/>
      <c r="G18" s="4" t="n"/>
      <c r="H18" s="8" t="inlineStr">
        <is>
          <t>Lectures</t>
        </is>
      </c>
      <c r="I18" s="26">
        <f>HYPERLINK("https://www.youtube.com/results?search_query=Faisal+Sir+Ionic+Equilibrium+one+shot+JEE+Main+Advanced","Watch ▶")</f>
        <v/>
      </c>
      <c r="J18" s="26">
        <f>HYPERLINK("https://www.youtube.com/results?search_query=Faisal+Sir+Ionic+Equilibrium+revision+PYQ+marathon+JEE","Watch ▶")</f>
        <v/>
      </c>
    </row>
    <row r="19" ht="22" customHeight="1">
      <c r="A19" s="7" t="n"/>
      <c r="B19" s="3" t="inlineStr">
        <is>
          <t>Redox Reactions</t>
        </is>
      </c>
      <c r="C19" s="4" t="n"/>
      <c r="D19" s="5" t="n"/>
      <c r="E19" s="4" t="n"/>
      <c r="F19" s="5" t="n"/>
      <c r="G19" s="4" t="n"/>
      <c r="H19" s="6" t="inlineStr">
        <is>
          <t>One-Shot</t>
        </is>
      </c>
      <c r="I19" s="26">
        <f>HYPERLINK("https://www.youtube.com/results?search_query=Faisal+Sir+Redox+Reactions+one+shot+JEE+Main+Advanced","Watch ▶")</f>
        <v/>
      </c>
      <c r="J19" s="26">
        <f>HYPERLINK("https://www.youtube.com/results?search_query=Faisal+Sir+Redox+Reactions+revision+PYQ+marathon+JEE","Watch ▶")</f>
        <v/>
      </c>
    </row>
    <row r="20" ht="22" customHeight="1">
      <c r="A20" s="7" t="n"/>
      <c r="B20" s="3" t="inlineStr">
        <is>
          <t>Trigonometry</t>
        </is>
      </c>
      <c r="C20" s="4" t="n"/>
      <c r="D20" s="5" t="n"/>
      <c r="E20" s="4" t="n"/>
      <c r="F20" s="5" t="n"/>
      <c r="G20" s="4" t="n"/>
      <c r="H20" s="6" t="inlineStr">
        <is>
          <t>One-Shot</t>
        </is>
      </c>
      <c r="I20" s="26">
        <f>HYPERLINK("https://www.youtube.com/results?search_query=NV+Sir+Trigonometry+one+shot+JEE+Main+Advanced","Watch ▶")</f>
        <v/>
      </c>
      <c r="J20" s="26">
        <f>HYPERLINK("https://www.youtube.com/results?search_query=NV+Sir+Trigonometry+revision+PYQ+marathon+JEE","Watch ▶")</f>
        <v/>
      </c>
    </row>
    <row r="21" ht="22" customHeight="1">
      <c r="A21" s="23" t="n"/>
      <c r="B21" s="11" t="inlineStr">
        <is>
          <t>Straight Lines</t>
        </is>
      </c>
      <c r="C21" s="12" t="n"/>
      <c r="D21" s="13" t="n"/>
      <c r="E21" s="12" t="n"/>
      <c r="F21" s="13" t="n"/>
      <c r="G21" s="12" t="n"/>
      <c r="H21" s="14" t="inlineStr">
        <is>
          <t>Lectures</t>
        </is>
      </c>
      <c r="I21" s="27">
        <f>HYPERLINK("https://www.youtube.com/results?search_query=Arvind+Kalia+Sir+Straight+Lines+one+shot+JEE+Main+Advanced","Watch ▶")</f>
        <v/>
      </c>
      <c r="J21" s="27">
        <f>HYPERLINK("https://www.youtube.com/results?search_query=Arvind+Kalia+Sir+Straight+Lines+revision+PYQ+marathon+JEE","Watch ▶")</f>
        <v/>
      </c>
    </row>
    <row r="22" ht="22" customHeight="1">
      <c r="A22" s="2" t="inlineStr">
        <is>
          <t>PART 4</t>
        </is>
      </c>
      <c r="B22" s="3" t="inlineStr">
        <is>
          <t>Mechanical Properties of Solids</t>
        </is>
      </c>
      <c r="C22" s="4" t="n"/>
      <c r="D22" s="5" t="n"/>
      <c r="E22" s="4" t="n"/>
      <c r="F22" s="5" t="n"/>
      <c r="G22" s="4" t="n"/>
      <c r="H22" s="6" t="inlineStr">
        <is>
          <t>One-Shot</t>
        </is>
      </c>
      <c r="I22" s="26">
        <f>HYPERLINK("https://www.youtube.com/results?search_query=Saleem+Sir+Elasticity+%2F+Properties+of+Solids+one+shot+JEE+Main+Advanced","Watch ▶")</f>
        <v/>
      </c>
      <c r="J22" s="26">
        <f>HYPERLINK("https://www.youtube.com/results?search_query=Saleem+Sir+Elasticity+%2F+Properties+of+Solids+revision+PYQ+marathon+JEE","Watch ▶")</f>
        <v/>
      </c>
    </row>
    <row r="23" ht="22" customHeight="1">
      <c r="A23" s="7" t="n"/>
      <c r="B23" s="3" t="inlineStr">
        <is>
          <t>Fluids (Hydrostatics &amp; Hydrodynamics)</t>
        </is>
      </c>
      <c r="C23" s="4" t="n"/>
      <c r="D23" s="5" t="n"/>
      <c r="E23" s="4" t="n"/>
      <c r="F23" s="5" t="n"/>
      <c r="G23" s="4" t="n"/>
      <c r="H23" s="8" t="inlineStr">
        <is>
          <t>Lectures</t>
        </is>
      </c>
      <c r="I23" s="26">
        <f>HYPERLINK("https://www.youtube.com/results?search_query=Saleem+Sir+Fluid+Mechanics+one+shot+JEE+Main+Advanced","Watch ▶")</f>
        <v/>
      </c>
      <c r="J23" s="26">
        <f>HYPERLINK("https://www.youtube.com/results?search_query=Saleem+Sir+Fluid+Mechanics+revision+PYQ+marathon+JEE","Watch ▶")</f>
        <v/>
      </c>
    </row>
    <row r="24" ht="22" customHeight="1">
      <c r="A24" s="7" t="n"/>
      <c r="B24" s="3" t="inlineStr">
        <is>
          <t>Periodic Properties</t>
        </is>
      </c>
      <c r="C24" s="4" t="n"/>
      <c r="D24" s="5" t="n"/>
      <c r="E24" s="4" t="n"/>
      <c r="F24" s="5" t="n"/>
      <c r="G24" s="4" t="n"/>
      <c r="H24" s="9" t="inlineStr">
        <is>
          <t>One-Shot (Long)</t>
        </is>
      </c>
      <c r="I24" s="26">
        <f>HYPERLINK("https://www.youtube.com/results?search_query=Om+Pandey+Sir+Periodicity+%2F+Periodic+Table+one+shot+JEE+Main+Advanced","Watch ▶")</f>
        <v/>
      </c>
      <c r="J24" s="26">
        <f>HYPERLINK("https://www.youtube.com/results?search_query=Om+Pandey+Sir+Periodicity+%2F+Periodic+Table+revision+PYQ+marathon+JEE","Watch ▶")</f>
        <v/>
      </c>
    </row>
    <row r="25" ht="22" customHeight="1">
      <c r="A25" s="7" t="n"/>
      <c r="B25" s="3" t="inlineStr">
        <is>
          <t>Chemical Bonding</t>
        </is>
      </c>
      <c r="C25" s="4" t="n"/>
      <c r="D25" s="5" t="n"/>
      <c r="E25" s="4" t="n"/>
      <c r="F25" s="5" t="n"/>
      <c r="G25" s="4" t="n"/>
      <c r="H25" s="8" t="inlineStr">
        <is>
          <t>Lectures</t>
        </is>
      </c>
      <c r="I25" s="26">
        <f>HYPERLINK("https://www.youtube.com/results?search_query=Om+Pandey+Sir+Chemical+Bonding+one+shot+JEE+Main+Advanced","Watch ▶")</f>
        <v/>
      </c>
      <c r="J25" s="26">
        <f>HYPERLINK("https://www.youtube.com/results?search_query=Om+Pandey+Sir+Chemical+Bonding+revision+PYQ+marathon+JEE","Watch ▶")</f>
        <v/>
      </c>
    </row>
    <row r="26" ht="22" customHeight="1">
      <c r="A26" s="7" t="n"/>
      <c r="B26" s="3" t="inlineStr">
        <is>
          <t>Circle</t>
        </is>
      </c>
      <c r="C26" s="4" t="n"/>
      <c r="D26" s="5" t="n"/>
      <c r="E26" s="4" t="n"/>
      <c r="F26" s="5" t="n"/>
      <c r="G26" s="4" t="n"/>
      <c r="H26" s="8" t="inlineStr">
        <is>
          <t>Lectures</t>
        </is>
      </c>
      <c r="I26" s="26">
        <f>HYPERLINK("https://www.youtube.com/results?search_query=Arvind+Kalia+Sir+Circle+one+shot+JEE+Main+Advanced","Watch ▶")</f>
        <v/>
      </c>
      <c r="J26" s="26">
        <f>HYPERLINK("https://www.youtube.com/results?search_query=Arvind+Kalia+Sir+Circle+revision+PYQ+marathon+JEE","Watch ▶")</f>
        <v/>
      </c>
    </row>
    <row r="27" ht="22" customHeight="1">
      <c r="A27" s="23" t="n"/>
      <c r="B27" s="11" t="inlineStr">
        <is>
          <t>Parabola</t>
        </is>
      </c>
      <c r="C27" s="12" t="n"/>
      <c r="D27" s="13" t="n"/>
      <c r="E27" s="12" t="n"/>
      <c r="F27" s="13" t="n"/>
      <c r="G27" s="12" t="n"/>
      <c r="H27" s="14" t="inlineStr">
        <is>
          <t>Lectures</t>
        </is>
      </c>
      <c r="I27" s="27">
        <f>HYPERLINK("https://www.youtube.com/results?search_query=Arvind+Kalia+Sir+Parabola+one+shot+JEE+Main+Advanced","Watch ▶")</f>
        <v/>
      </c>
      <c r="J27" s="27">
        <f>HYPERLINK("https://www.youtube.com/results?search_query=Arvind+Kalia+Sir+Parabola+revision+PYQ+marathon+JEE","Watch ▶")</f>
        <v/>
      </c>
    </row>
    <row r="28" ht="22" customHeight="1">
      <c r="A28" s="2" t="inlineStr">
        <is>
          <t>PART 5</t>
        </is>
      </c>
      <c r="B28" s="3" t="inlineStr">
        <is>
          <t>Thermal Properties of Matter</t>
        </is>
      </c>
      <c r="C28" s="4" t="n"/>
      <c r="D28" s="5" t="n"/>
      <c r="E28" s="4" t="n"/>
      <c r="F28" s="5" t="n"/>
      <c r="G28" s="4" t="n"/>
      <c r="H28" s="6" t="inlineStr">
        <is>
          <t>One-Shot</t>
        </is>
      </c>
      <c r="I28" s="26">
        <f>HYPERLINK("https://www.youtube.com/results?search_query=Saleem+Sir+Thermal+Properties+%2B+Calorimetry+one+shot+JEE+Main+Advanced","Watch ▶")</f>
        <v/>
      </c>
      <c r="J28" s="26">
        <f>HYPERLINK("https://www.youtube.com/results?search_query=Saleem+Sir+Thermal+Properties+%2B+Calorimetry+revision+PYQ+marathon+JEE","Watch ▶")</f>
        <v/>
      </c>
    </row>
    <row r="29" ht="22" customHeight="1">
      <c r="A29" s="7" t="n"/>
      <c r="B29" s="3" t="inlineStr">
        <is>
          <t>KTG &amp; Thermodynamics</t>
        </is>
      </c>
      <c r="C29" s="4" t="n"/>
      <c r="D29" s="5" t="n"/>
      <c r="E29" s="4" t="n"/>
      <c r="F29" s="5" t="n"/>
      <c r="G29" s="4" t="n"/>
      <c r="H29" s="8" t="inlineStr">
        <is>
          <t>Lectures</t>
        </is>
      </c>
      <c r="I29" s="26">
        <f>HYPERLINK("https://www.youtube.com/results?search_query=Saleem+Sir+Kinetic+Theory+of+Gases+Thermodynamics+one+shot+JEE+Main+Advanced","Watch ▶")</f>
        <v/>
      </c>
      <c r="J29" s="26">
        <f>HYPERLINK("https://www.youtube.com/results?search_query=Saleem+Sir+Kinetic+Theory+of+Gases+Thermodynamics+revision+PYQ+marathon+JEE","Watch ▶")</f>
        <v/>
      </c>
    </row>
    <row r="30" ht="22" customHeight="1">
      <c r="A30" s="7" t="n"/>
      <c r="B30" s="3" t="inlineStr">
        <is>
          <t>p Block Elements</t>
        </is>
      </c>
      <c r="C30" s="4" t="n"/>
      <c r="D30" s="5" t="n"/>
      <c r="E30" s="4" t="n"/>
      <c r="F30" s="5" t="n"/>
      <c r="G30" s="4" t="n"/>
      <c r="H30" s="8" t="inlineStr">
        <is>
          <t>Lectures</t>
        </is>
      </c>
      <c r="I30" s="26">
        <f>HYPERLINK("https://www.youtube.com/results?search_query=Om+Pandey+Sir+p-Block+Elements+one+shot+JEE+Main+Advanced","Watch ▶")</f>
        <v/>
      </c>
      <c r="J30" s="26">
        <f>HYPERLINK("https://www.youtube.com/results?search_query=Om+Pandey+Sir+p-Block+Elements+revision+PYQ+marathon+JEE","Watch ▶")</f>
        <v/>
      </c>
    </row>
    <row r="31" ht="22" customHeight="1">
      <c r="A31" s="7" t="n"/>
      <c r="B31" s="3" t="inlineStr">
        <is>
          <t>d and f Block Elements</t>
        </is>
      </c>
      <c r="C31" s="4" t="n"/>
      <c r="D31" s="5" t="n"/>
      <c r="E31" s="4" t="n"/>
      <c r="F31" s="5" t="n"/>
      <c r="G31" s="4" t="n"/>
      <c r="H31" s="6" t="inlineStr">
        <is>
          <t>One-Shot</t>
        </is>
      </c>
      <c r="I31" s="26">
        <f>HYPERLINK("https://www.youtube.com/results?search_query=Om+Pandey+Sir+d-+and+f-Block+Elements+one+shot+JEE+Main+Advanced","Watch ▶")</f>
        <v/>
      </c>
      <c r="J31" s="26">
        <f>HYPERLINK("https://www.youtube.com/results?search_query=Om+Pandey+Sir+d-+and+f-Block+Elements+revision+PYQ+marathon+JEE","Watch ▶")</f>
        <v/>
      </c>
    </row>
    <row r="32" ht="22" customHeight="1">
      <c r="A32" s="7" t="n"/>
      <c r="B32" s="3" t="inlineStr">
        <is>
          <t>Ellipse and Hyperbola</t>
        </is>
      </c>
      <c r="C32" s="4" t="n"/>
      <c r="D32" s="5" t="n"/>
      <c r="E32" s="4" t="n"/>
      <c r="F32" s="5" t="n"/>
      <c r="G32" s="4" t="n"/>
      <c r="H32" s="8" t="inlineStr">
        <is>
          <t>Lectures</t>
        </is>
      </c>
      <c r="I32" s="26">
        <f>HYPERLINK("https://www.youtube.com/results?search_query=Arvind+Kalia+Sir+Ellipse+Hyperbola+one+shot+JEE+Main+Advanced","Watch ▶")</f>
        <v/>
      </c>
      <c r="J32" s="26">
        <f>HYPERLINK("https://www.youtube.com/results?search_query=Arvind+Kalia+Sir+Ellipse+Hyperbola+revision+PYQ+marathon+JEE","Watch ▶")</f>
        <v/>
      </c>
    </row>
    <row r="33" ht="22" customHeight="1">
      <c r="A33" s="23" t="n"/>
      <c r="B33" s="11" t="inlineStr">
        <is>
          <t>Complex Numbers</t>
        </is>
      </c>
      <c r="C33" s="12" t="n"/>
      <c r="D33" s="13" t="n"/>
      <c r="E33" s="12" t="n"/>
      <c r="F33" s="13" t="n"/>
      <c r="G33" s="12" t="n"/>
      <c r="H33" s="14" t="inlineStr">
        <is>
          <t>Lectures</t>
        </is>
      </c>
      <c r="I33" s="27">
        <f>HYPERLINK("https://www.youtube.com/results?search_query=TK+Sir+Complex+Numbers+one+shot+JEE+Main+Advanced","Watch ▶")</f>
        <v/>
      </c>
      <c r="J33" s="27">
        <f>HYPERLINK("https://www.youtube.com/results?search_query=TK+Sir+Complex+Numbers+revision+PYQ+marathon+JEE","Watch ▶")</f>
        <v/>
      </c>
    </row>
    <row r="34" ht="22" customHeight="1">
      <c r="A34" s="2" t="inlineStr">
        <is>
          <t>PART 6</t>
        </is>
      </c>
      <c r="B34" s="3" t="inlineStr">
        <is>
          <t>Oscillations</t>
        </is>
      </c>
      <c r="C34" s="4" t="n"/>
      <c r="D34" s="5" t="n"/>
      <c r="E34" s="4" t="n"/>
      <c r="F34" s="5" t="n"/>
      <c r="G34" s="4" t="n"/>
      <c r="H34" s="6" t="inlineStr">
        <is>
          <t>One-Shot</t>
        </is>
      </c>
      <c r="I34" s="26">
        <f>HYPERLINK("https://www.youtube.com/results?search_query=Saleem+Sir+Simple+Harmonic+Motion+one+shot+JEE+Main+Advanced","Watch ▶")</f>
        <v/>
      </c>
      <c r="J34" s="26">
        <f>HYPERLINK("https://www.youtube.com/results?search_query=Saleem+Sir+Simple+Harmonic+Motion+revision+PYQ+marathon+JEE","Watch ▶")</f>
        <v/>
      </c>
    </row>
    <row r="35" ht="22" customHeight="1">
      <c r="A35" s="7" t="n"/>
      <c r="B35" s="3" t="inlineStr">
        <is>
          <t>Waves</t>
        </is>
      </c>
      <c r="C35" s="4" t="n"/>
      <c r="D35" s="5" t="n"/>
      <c r="E35" s="4" t="n"/>
      <c r="F35" s="5" t="n"/>
      <c r="G35" s="4" t="n"/>
      <c r="H35" s="8" t="inlineStr">
        <is>
          <t>Lectures</t>
        </is>
      </c>
      <c r="I35" s="26">
        <f>HYPERLINK("https://www.youtube.com/results?search_query=Saleem+Sir+Waves+%26+Sound+one+shot+JEE+Main+Advanced","Watch ▶")</f>
        <v/>
      </c>
      <c r="J35" s="26">
        <f>HYPERLINK("https://www.youtube.com/results?search_query=Saleem+Sir+Waves+%26+Sound+revision+PYQ+marathon+JEE","Watch ▶")</f>
        <v/>
      </c>
    </row>
    <row r="36" ht="22" customHeight="1">
      <c r="A36" s="7" t="n"/>
      <c r="B36" s="3" t="inlineStr">
        <is>
          <t>Coordination Chemistry</t>
        </is>
      </c>
      <c r="C36" s="4" t="n"/>
      <c r="D36" s="5" t="n"/>
      <c r="E36" s="4" t="n"/>
      <c r="F36" s="5" t="n"/>
      <c r="G36" s="4" t="n"/>
      <c r="H36" s="8" t="inlineStr">
        <is>
          <t>Lectures</t>
        </is>
      </c>
      <c r="I36" s="26">
        <f>HYPERLINK("https://www.youtube.com/results?search_query=Om+Pandey+Sir+Coordination+Compounds+one+shot+JEE+Main+Advanced","Watch ▶")</f>
        <v/>
      </c>
      <c r="J36" s="26">
        <f>HYPERLINK("https://www.youtube.com/results?search_query=Om+Pandey+Sir+Coordination+Compounds+revision+PYQ+marathon+JEE","Watch ▶")</f>
        <v/>
      </c>
    </row>
    <row r="37" ht="22" customHeight="1">
      <c r="A37" s="7" t="n"/>
      <c r="B37" s="3" t="inlineStr">
        <is>
          <t>Qualitative Analysis</t>
        </is>
      </c>
      <c r="C37" s="4" t="n"/>
      <c r="D37" s="5" t="n"/>
      <c r="E37" s="4" t="n"/>
      <c r="F37" s="5" t="n"/>
      <c r="G37" s="4" t="n"/>
      <c r="H37" s="6" t="inlineStr">
        <is>
          <t>One-Shot</t>
        </is>
      </c>
      <c r="I37" s="26">
        <f>HYPERLINK("https://www.youtube.com/results?search_query=Om+Pandey+Sir+Practical+Chemistry+%2B+Salt+Analysis+one+shot+JEE+Main+Advanced","Watch ▶")</f>
        <v/>
      </c>
      <c r="J37" s="26">
        <f>HYPERLINK("https://www.youtube.com/results?search_query=Om+Pandey+Sir+Practical+Chemistry+%2B+Salt+Analysis+revision+PYQ+marathon+JEE","Watch ▶")</f>
        <v/>
      </c>
    </row>
    <row r="38" ht="22" customHeight="1">
      <c r="A38" s="7" t="n"/>
      <c r="B38" s="3" t="inlineStr">
        <is>
          <t>Permutations and Combinations</t>
        </is>
      </c>
      <c r="C38" s="4" t="n"/>
      <c r="D38" s="5" t="n"/>
      <c r="E38" s="4" t="n"/>
      <c r="F38" s="5" t="n"/>
      <c r="G38" s="4" t="n"/>
      <c r="H38" s="8" t="inlineStr">
        <is>
          <t>Lectures</t>
        </is>
      </c>
      <c r="I38" s="26">
        <f>HYPERLINK("https://www.youtube.com/results?search_query=TK+Sir+Permutations+%26+Combinations+one+shot+JEE+Main+Advanced","Watch ▶")</f>
        <v/>
      </c>
      <c r="J38" s="26">
        <f>HYPERLINK("https://www.youtube.com/results?search_query=TK+Sir+Permutations+%26+Combinations+revision+PYQ+marathon+JEE","Watch ▶")</f>
        <v/>
      </c>
    </row>
    <row r="39" ht="22" customHeight="1">
      <c r="A39" s="23" t="n"/>
      <c r="B39" s="11" t="inlineStr">
        <is>
          <t>Statistics</t>
        </is>
      </c>
      <c r="C39" s="12" t="n"/>
      <c r="D39" s="13" t="n"/>
      <c r="E39" s="12" t="n"/>
      <c r="F39" s="13" t="n"/>
      <c r="G39" s="12" t="n"/>
      <c r="H39" s="15" t="inlineStr">
        <is>
          <t>One-Shot</t>
        </is>
      </c>
      <c r="I39" s="27">
        <f>HYPERLINK("https://www.youtube.com/results?search_query=TK+Sir+Statistics+one+shot+JEE+Main+Advanced","Watch ▶")</f>
        <v/>
      </c>
      <c r="J39" s="27">
        <f>HYPERLINK("https://www.youtube.com/results?search_query=TK+Sir+Statistics+revision+PYQ+marathon+JEE","Watch ▶")</f>
        <v/>
      </c>
    </row>
    <row r="40" ht="22" customHeight="1">
      <c r="A40" s="2" t="inlineStr">
        <is>
          <t>PART 7</t>
        </is>
      </c>
      <c r="B40" s="3" t="inlineStr">
        <is>
          <t>Electrostatics</t>
        </is>
      </c>
      <c r="C40" s="4" t="n"/>
      <c r="D40" s="5" t="n"/>
      <c r="E40" s="4" t="n"/>
      <c r="F40" s="5" t="n"/>
      <c r="G40" s="4" t="n"/>
      <c r="H40" s="6" t="inlineStr">
        <is>
          <t>One-Shot</t>
        </is>
      </c>
      <c r="I40" s="26">
        <f>HYPERLINK("https://www.youtube.com/results?search_query=Rajwant+Sir+Electric+Charges+%26+Fields+one+shot+JEE+Main+Advanced","Watch ▶")</f>
        <v/>
      </c>
      <c r="J40" s="26">
        <f>HYPERLINK("https://www.youtube.com/results?search_query=Rajwant+Sir+Electric+Charges+%26+Fields+revision+PYQ+marathon+JEE","Watch ▶")</f>
        <v/>
      </c>
    </row>
    <row r="41" ht="22" customHeight="1">
      <c r="A41" s="7" t="n"/>
      <c r="B41" s="3" t="inlineStr">
        <is>
          <t>Capacitance</t>
        </is>
      </c>
      <c r="C41" s="4" t="n"/>
      <c r="D41" s="5" t="n"/>
      <c r="E41" s="4" t="n"/>
      <c r="F41" s="5" t="n"/>
      <c r="G41" s="4" t="n"/>
      <c r="H41" s="6" t="inlineStr">
        <is>
          <t>One-Shot</t>
        </is>
      </c>
      <c r="I41" s="26">
        <f>HYPERLINK("https://www.youtube.com/results?search_query=Rajwant+Sir+Potential+%26+Capacitance+one+shot+JEE+Main+Advanced","Watch ▶")</f>
        <v/>
      </c>
      <c r="J41" s="26">
        <f>HYPERLINK("https://www.youtube.com/results?search_query=Rajwant+Sir+Potential+%26+Capacitance+revision+PYQ+marathon+JEE","Watch ▶")</f>
        <v/>
      </c>
    </row>
    <row r="42" ht="22" customHeight="1">
      <c r="A42" s="7" t="n"/>
      <c r="B42" s="3" t="inlineStr">
        <is>
          <t>Nomenclature</t>
        </is>
      </c>
      <c r="C42" s="4" t="n"/>
      <c r="D42" s="5" t="n"/>
      <c r="E42" s="4" t="n"/>
      <c r="F42" s="5" t="n"/>
      <c r="G42" s="4" t="n"/>
      <c r="H42" s="6" t="inlineStr">
        <is>
          <t>One-Shot</t>
        </is>
      </c>
      <c r="I42" s="26">
        <f>HYPERLINK("https://www.youtube.com/results?search_query=RA+Sir+GOC+%2B+IUPAC+%2B+Isomerism+one+shot+JEE+Main+Advanced","Watch ▶")</f>
        <v/>
      </c>
      <c r="J42" s="26">
        <f>HYPERLINK("https://www.youtube.com/results?search_query=RA+Sir+GOC+%2B+IUPAC+%2B+Isomerism+revision+PYQ+marathon+JEE","Watch ▶")</f>
        <v/>
      </c>
    </row>
    <row r="43" ht="22" customHeight="1">
      <c r="A43" s="7" t="n"/>
      <c r="B43" s="3" t="inlineStr">
        <is>
          <t>Isomerism</t>
        </is>
      </c>
      <c r="C43" s="4" t="n"/>
      <c r="D43" s="5" t="n"/>
      <c r="E43" s="4" t="n"/>
      <c r="F43" s="5" t="n"/>
      <c r="G43" s="4" t="n"/>
      <c r="H43" s="8" t="inlineStr">
        <is>
          <t>Lectures</t>
        </is>
      </c>
      <c r="I43" s="26">
        <f>HYPERLINK("https://www.youtube.com/results?search_query=RA+Sir+GOC+%2B+IUPAC+%2B+Isomerism+one+shot+JEE+Main+Advanced","Watch ▶")</f>
        <v/>
      </c>
      <c r="J43" s="26">
        <f>HYPERLINK("https://www.youtube.com/results?search_query=RA+Sir+GOC+%2B+IUPAC+%2B+Isomerism+revision+PYQ+marathon+JEE","Watch ▶")</f>
        <v/>
      </c>
    </row>
    <row r="44" ht="22" customHeight="1">
      <c r="A44" s="7" t="n"/>
      <c r="B44" s="3" t="inlineStr">
        <is>
          <t>Sets and Relations</t>
        </is>
      </c>
      <c r="C44" s="4" t="n"/>
      <c r="D44" s="5" t="n"/>
      <c r="E44" s="4" t="n"/>
      <c r="F44" s="5" t="n"/>
      <c r="G44" s="4" t="n"/>
      <c r="H44" s="6" t="inlineStr">
        <is>
          <t>One-Shot</t>
        </is>
      </c>
      <c r="I44" s="26">
        <f>HYPERLINK("https://www.youtube.com/results?search_query=TK+Sir+Sets%2C+Relations+%26+Functions+one+shot+JEE+Main+Advanced","Watch ▶")</f>
        <v/>
      </c>
      <c r="J44" s="26">
        <f>HYPERLINK("https://www.youtube.com/results?search_query=TK+Sir+Sets%2C+Relations+%26+Functions+revision+PYQ+marathon+JEE","Watch ▶")</f>
        <v/>
      </c>
    </row>
    <row r="45" ht="22" customHeight="1">
      <c r="A45" s="23" t="n"/>
      <c r="B45" s="11" t="inlineStr">
        <is>
          <t>Functions and ITF</t>
        </is>
      </c>
      <c r="C45" s="12" t="n"/>
      <c r="D45" s="13" t="n"/>
      <c r="E45" s="12" t="n"/>
      <c r="F45" s="13" t="n"/>
      <c r="G45" s="12" t="n"/>
      <c r="H45" s="15" t="inlineStr">
        <is>
          <t>One-Shot</t>
        </is>
      </c>
      <c r="I45" s="27">
        <f>HYPERLINK("https://www.youtube.com/results?search_query=NV+Sir+Inverse+Trigonometric+Functions+one+shot+JEE+Main+Advanced","Watch ▶")</f>
        <v/>
      </c>
      <c r="J45" s="27">
        <f>HYPERLINK("https://www.youtube.com/results?search_query=NV+Sir+Inverse+Trigonometric+Functions+revision+PYQ+marathon+JEE","Watch ▶")</f>
        <v/>
      </c>
    </row>
    <row r="46" ht="22" customHeight="1">
      <c r="A46" s="2" t="inlineStr">
        <is>
          <t>PART 8</t>
        </is>
      </c>
      <c r="B46" s="3" t="inlineStr">
        <is>
          <t>Current Electricity</t>
        </is>
      </c>
      <c r="C46" s="4" t="n"/>
      <c r="D46" s="5" t="n"/>
      <c r="E46" s="4" t="n"/>
      <c r="F46" s="5" t="n"/>
      <c r="G46" s="4" t="n"/>
      <c r="H46" s="8" t="inlineStr">
        <is>
          <t>Lectures</t>
        </is>
      </c>
      <c r="I46" s="26">
        <f>HYPERLINK("https://www.youtube.com/results?search_query=Rajwant+Sir+Current+Electricity+one+shot+JEE+Main+Advanced","Watch ▶")</f>
        <v/>
      </c>
      <c r="J46" s="26">
        <f>HYPERLINK("https://www.youtube.com/results?search_query=Rajwant+Sir+Current+Electricity+revision+PYQ+marathon+JEE","Watch ▶")</f>
        <v/>
      </c>
    </row>
    <row r="47" ht="22" customHeight="1">
      <c r="A47" s="7" t="n"/>
      <c r="B47" s="3" t="inlineStr">
        <is>
          <t>Magnetic Effect of Current</t>
        </is>
      </c>
      <c r="C47" s="4" t="n"/>
      <c r="D47" s="5" t="n"/>
      <c r="E47" s="4" t="n"/>
      <c r="F47" s="5" t="n"/>
      <c r="G47" s="4" t="n"/>
      <c r="H47" s="8" t="inlineStr">
        <is>
          <t>Lectures</t>
        </is>
      </c>
      <c r="I47" s="26">
        <f>HYPERLINK("https://www.youtube.com/results?search_query=Rajwant+Sir+Moving+Charges+%26+Magnetism+one+shot+JEE+Main+Advanced","Watch ▶")</f>
        <v/>
      </c>
      <c r="J47" s="26">
        <f>HYPERLINK("https://www.youtube.com/results?search_query=Rajwant+Sir+Moving+Charges+%26+Magnetism+revision+PYQ+marathon+JEE","Watch ▶")</f>
        <v/>
      </c>
    </row>
    <row r="48" ht="22" customHeight="1">
      <c r="A48" s="7" t="n"/>
      <c r="B48" s="3" t="inlineStr">
        <is>
          <t>General Organic Chemistry</t>
        </is>
      </c>
      <c r="C48" s="4" t="n"/>
      <c r="D48" s="5" t="n"/>
      <c r="E48" s="4" t="n"/>
      <c r="F48" s="5" t="n"/>
      <c r="G48" s="4" t="n"/>
      <c r="H48" s="8" t="inlineStr">
        <is>
          <t>Lectures</t>
        </is>
      </c>
      <c r="I48" s="26">
        <f>HYPERLINK("https://www.youtube.com/results?search_query=RA+Sir+GOC+%2B+IUPAC+%2B+Isomerism+one+shot+JEE+Main+Advanced","Watch ▶")</f>
        <v/>
      </c>
      <c r="J48" s="26">
        <f>HYPERLINK("https://www.youtube.com/results?search_query=RA+Sir+GOC+%2B+IUPAC+%2B+Isomerism+revision+PYQ+marathon+JEE","Watch ▶")</f>
        <v/>
      </c>
    </row>
    <row r="49" ht="22" customHeight="1">
      <c r="A49" s="7" t="n"/>
      <c r="B49" s="3" t="inlineStr">
        <is>
          <t>Alkanes Alkenes Alkynes Aromatic Hydrocarbons (Half)</t>
        </is>
      </c>
      <c r="C49" s="4" t="n"/>
      <c r="D49" s="5" t="n"/>
      <c r="E49" s="4" t="n"/>
      <c r="F49" s="5" t="n"/>
      <c r="G49" s="4" t="n"/>
      <c r="H49" s="8" t="inlineStr">
        <is>
          <t>Lectures</t>
        </is>
      </c>
      <c r="I49" s="26">
        <f>HYPERLINK("https://www.youtube.com/results?search_query=RA+Sir+Hydrocarbons+one+shot+JEE+Main+Advanced","Watch ▶")</f>
        <v/>
      </c>
      <c r="J49" s="26">
        <f>HYPERLINK("https://www.youtube.com/results?search_query=RA+Sir+Hydrocarbons+revision+PYQ+marathon+JEE","Watch ▶")</f>
        <v/>
      </c>
    </row>
    <row r="50" ht="22" customHeight="1">
      <c r="A50" s="7" t="n"/>
      <c r="B50" s="3" t="inlineStr">
        <is>
          <t>Limits</t>
        </is>
      </c>
      <c r="C50" s="4" t="n"/>
      <c r="D50" s="5" t="n"/>
      <c r="E50" s="4" t="n"/>
      <c r="F50" s="5" t="n"/>
      <c r="G50" s="4" t="n"/>
      <c r="H50" s="8" t="inlineStr">
        <is>
          <t>Lectures</t>
        </is>
      </c>
      <c r="I50" s="26">
        <f>HYPERLINK("https://www.youtube.com/results?search_query=NV+Sir+Limits+one+shot+JEE+Main+Advanced","Watch ▶")</f>
        <v/>
      </c>
      <c r="J50" s="26">
        <f>HYPERLINK("https://www.youtube.com/results?search_query=NV+Sir+Limits+revision+PYQ+marathon+JEE","Watch ▶")</f>
        <v/>
      </c>
    </row>
    <row r="51" ht="22" customHeight="1">
      <c r="A51" s="23" t="n"/>
      <c r="B51" s="11" t="inlineStr">
        <is>
          <t>Continuity and Differentiability</t>
        </is>
      </c>
      <c r="C51" s="12" t="n"/>
      <c r="D51" s="13" t="n"/>
      <c r="E51" s="12" t="n"/>
      <c r="F51" s="13" t="n"/>
      <c r="G51" s="12" t="n"/>
      <c r="H51" s="14" t="inlineStr">
        <is>
          <t>Lectures</t>
        </is>
      </c>
      <c r="I51" s="27">
        <f>HYPERLINK("https://www.youtube.com/results?search_query=NV+Sir+Continuity+%26+Differentiability+one+shot+JEE+Main+Advanced","Watch ▶")</f>
        <v/>
      </c>
      <c r="J51" s="27">
        <f>HYPERLINK("https://www.youtube.com/results?search_query=NV+Sir+Continuity+%26+Differentiability+revision+PYQ+marathon+JEE","Watch ▶")</f>
        <v/>
      </c>
    </row>
    <row r="52" ht="22" customHeight="1">
      <c r="A52" s="2" t="inlineStr">
        <is>
          <t>PART 9</t>
        </is>
      </c>
      <c r="B52" s="3" t="inlineStr">
        <is>
          <t>Magnetic Properties of Matter</t>
        </is>
      </c>
      <c r="C52" s="4" t="n"/>
      <c r="D52" s="5" t="n"/>
      <c r="E52" s="4" t="n"/>
      <c r="F52" s="5" t="n"/>
      <c r="G52" s="4" t="n"/>
      <c r="H52" s="6" t="inlineStr">
        <is>
          <t>One-Shot</t>
        </is>
      </c>
      <c r="I52" s="26">
        <f>HYPERLINK("https://www.youtube.com/results?search_query=Rajwant+Sir+Magnetism+%26+Matter+one+shot+JEE+Main+Advanced","Watch ▶")</f>
        <v/>
      </c>
      <c r="J52" s="26">
        <f>HYPERLINK("https://www.youtube.com/results?search_query=Rajwant+Sir+Magnetism+%26+Matter+revision+PYQ+marathon+JEE","Watch ▶")</f>
        <v/>
      </c>
    </row>
    <row r="53" ht="22" customHeight="1">
      <c r="A53" s="7" t="n"/>
      <c r="B53" s="3" t="inlineStr">
        <is>
          <t>Electromagnetic Induction</t>
        </is>
      </c>
      <c r="C53" s="4" t="n"/>
      <c r="D53" s="5" t="n"/>
      <c r="E53" s="4" t="n"/>
      <c r="F53" s="5" t="n"/>
      <c r="G53" s="4" t="n"/>
      <c r="H53" s="6" t="inlineStr">
        <is>
          <t>One-Shot</t>
        </is>
      </c>
      <c r="I53" s="26">
        <f>HYPERLINK("https://www.youtube.com/results?search_query=Rajwant+Sir+Electromagnetic+Induction+one+shot+JEE+Main+Advanced","Watch ▶")</f>
        <v/>
      </c>
      <c r="J53" s="26">
        <f>HYPERLINK("https://www.youtube.com/results?search_query=Rajwant+Sir+Electromagnetic+Induction+revision+PYQ+marathon+JEE","Watch ▶")</f>
        <v/>
      </c>
    </row>
    <row r="54" ht="22" customHeight="1">
      <c r="A54" s="7" t="n"/>
      <c r="B54" s="3" t="inlineStr">
        <is>
          <t>Alkanes Alkenes Alkynes Aromatic Hydrocarbons (Half)</t>
        </is>
      </c>
      <c r="C54" s="4" t="n"/>
      <c r="D54" s="5" t="n"/>
      <c r="E54" s="4" t="n"/>
      <c r="F54" s="5" t="n"/>
      <c r="G54" s="4" t="n"/>
      <c r="H54" s="8" t="inlineStr">
        <is>
          <t>Lectures</t>
        </is>
      </c>
      <c r="I54" s="26">
        <f>HYPERLINK("https://www.youtube.com/results?search_query=RA+Sir+Hydrocarbons+one+shot+JEE+Main+Advanced","Watch ▶")</f>
        <v/>
      </c>
      <c r="J54" s="26">
        <f>HYPERLINK("https://www.youtube.com/results?search_query=RA+Sir+Hydrocarbons+revision+PYQ+marathon+JEE","Watch ▶")</f>
        <v/>
      </c>
    </row>
    <row r="55" ht="22" customHeight="1">
      <c r="A55" s="7" t="n"/>
      <c r="B55" s="3" t="inlineStr">
        <is>
          <t>Haloalkanes and Haloarenes</t>
        </is>
      </c>
      <c r="C55" s="4" t="n"/>
      <c r="D55" s="5" t="n"/>
      <c r="E55" s="4" t="n"/>
      <c r="F55" s="5" t="n"/>
      <c r="G55" s="4" t="n"/>
      <c r="H55" s="8" t="inlineStr">
        <is>
          <t>Lectures</t>
        </is>
      </c>
      <c r="I55" s="26">
        <f>HYPERLINK("https://www.youtube.com/results?search_query=RA+Sir+Haloalkanes+%26+Haloarenes+one+shot+JEE+Main+Advanced","Watch ▶")</f>
        <v/>
      </c>
      <c r="J55" s="26">
        <f>HYPERLINK("https://www.youtube.com/results?search_query=RA+Sir+Haloalkanes+%26+Haloarenes+revision+PYQ+marathon+JEE","Watch ▶")</f>
        <v/>
      </c>
    </row>
    <row r="56" ht="22" customHeight="1">
      <c r="A56" s="7" t="n"/>
      <c r="B56" s="3" t="inlineStr">
        <is>
          <t>MOD</t>
        </is>
      </c>
      <c r="C56" s="4" t="n"/>
      <c r="D56" s="5" t="n"/>
      <c r="E56" s="4" t="n"/>
      <c r="F56" s="5" t="n"/>
      <c r="G56" s="4" t="n"/>
      <c r="H56" s="6" t="inlineStr">
        <is>
          <t>One-Shot</t>
        </is>
      </c>
      <c r="I56" s="26">
        <f>HYPERLINK("https://www.youtube.com/results?search_query=NV+Sir+Continuity+%26+Differentiability+one+shot+JEE+Main+Advanced","Watch ▶")</f>
        <v/>
      </c>
      <c r="J56" s="26">
        <f>HYPERLINK("https://www.youtube.com/results?search_query=NV+Sir+Continuity+%26+Differentiability+revision+PYQ+marathon+JEE","Watch ▶")</f>
        <v/>
      </c>
    </row>
    <row r="57" ht="22" customHeight="1">
      <c r="A57" s="23" t="n"/>
      <c r="B57" s="11" t="inlineStr">
        <is>
          <t>Application of Derivatives</t>
        </is>
      </c>
      <c r="C57" s="12" t="n"/>
      <c r="D57" s="13" t="n"/>
      <c r="E57" s="12" t="n"/>
      <c r="F57" s="13" t="n"/>
      <c r="G57" s="12" t="n"/>
      <c r="H57" s="14" t="inlineStr">
        <is>
          <t>Lectures</t>
        </is>
      </c>
      <c r="I57" s="27">
        <f>HYPERLINK("https://www.youtube.com/results?search_query=NV+Sir+Application+of+Derivatives+one+shot+JEE+Main+Advanced","Watch ▶")</f>
        <v/>
      </c>
      <c r="J57" s="27">
        <f>HYPERLINK("https://www.youtube.com/results?search_query=NV+Sir+Application+of+Derivatives+revision+PYQ+marathon+JEE","Watch ▶")</f>
        <v/>
      </c>
    </row>
    <row r="58" ht="22" customHeight="1">
      <c r="A58" s="2" t="inlineStr">
        <is>
          <t>PART 10</t>
        </is>
      </c>
      <c r="B58" s="3" t="inlineStr">
        <is>
          <t>Alternating Current</t>
        </is>
      </c>
      <c r="C58" s="4" t="n"/>
      <c r="D58" s="5" t="n"/>
      <c r="E58" s="4" t="n"/>
      <c r="F58" s="5" t="n"/>
      <c r="G58" s="4" t="n"/>
      <c r="H58" s="8" t="inlineStr">
        <is>
          <t>Lectures</t>
        </is>
      </c>
      <c r="I58" s="26">
        <f>HYPERLINK("https://www.youtube.com/results?search_query=Rajwant+Sir+Alternating+Current+one+shot+JEE+Main+Advanced","Watch ▶")</f>
        <v/>
      </c>
      <c r="J58" s="26">
        <f>HYPERLINK("https://www.youtube.com/results?search_query=Rajwant+Sir+Alternating+Current+revision+PYQ+marathon+JEE","Watch ▶")</f>
        <v/>
      </c>
    </row>
    <row r="59" ht="22" customHeight="1">
      <c r="A59" s="7" t="n"/>
      <c r="B59" s="3" t="inlineStr">
        <is>
          <t>Dual Nature of Matter</t>
        </is>
      </c>
      <c r="C59" s="4" t="n"/>
      <c r="D59" s="5" t="n"/>
      <c r="E59" s="4" t="n"/>
      <c r="F59" s="5" t="n"/>
      <c r="G59" s="4" t="n"/>
      <c r="H59" s="6" t="inlineStr">
        <is>
          <t>One-Shot</t>
        </is>
      </c>
      <c r="I59" s="26">
        <f>HYPERLINK("https://www.youtube.com/results?search_query=Rajwant+Sir+Dual+Nature+of+Matter+%26+Radiation+one+shot+JEE+Main+Advanced","Watch ▶")</f>
        <v/>
      </c>
      <c r="J59" s="26">
        <f>HYPERLINK("https://www.youtube.com/results?search_query=Rajwant+Sir+Dual+Nature+of+Matter+%26+Radiation+revision+PYQ+marathon+JEE","Watch ▶")</f>
        <v/>
      </c>
    </row>
    <row r="60" ht="22" customHeight="1">
      <c r="A60" s="7" t="n"/>
      <c r="B60" s="3" t="inlineStr">
        <is>
          <t>Alcohol, Phenol, Ethers</t>
        </is>
      </c>
      <c r="C60" s="4" t="n"/>
      <c r="D60" s="5" t="n"/>
      <c r="E60" s="4" t="n"/>
      <c r="F60" s="5" t="n"/>
      <c r="G60" s="4" t="n"/>
      <c r="H60" s="8" t="inlineStr">
        <is>
          <t>Lectures</t>
        </is>
      </c>
      <c r="I60" s="26">
        <f>HYPERLINK("https://www.youtube.com/results?search_query=RA+Sir+Alcohols%2C+Phenols+%26+Ethers+one+shot+JEE+Main+Advanced","Watch ▶")</f>
        <v/>
      </c>
      <c r="J60" s="26">
        <f>HYPERLINK("https://www.youtube.com/results?search_query=RA+Sir+Alcohols%2C+Phenols+%26+Ethers+revision+PYQ+marathon+JEE","Watch ▶")</f>
        <v/>
      </c>
    </row>
    <row r="61" ht="22" customHeight="1">
      <c r="A61" s="7" t="n"/>
      <c r="B61" s="3" t="inlineStr">
        <is>
          <t>Aldehydes, Ketones, Carboxylic Acids</t>
        </is>
      </c>
      <c r="C61" s="4" t="n"/>
      <c r="D61" s="5" t="n"/>
      <c r="E61" s="4" t="n"/>
      <c r="F61" s="5" t="n"/>
      <c r="G61" s="4" t="n"/>
      <c r="H61" s="8" t="inlineStr">
        <is>
          <t>Lectures</t>
        </is>
      </c>
      <c r="I61" s="26">
        <f>HYPERLINK("https://www.youtube.com/results?search_query=RA+Sir+Aldehydes+%26+Ketones+Carboxylic+Acids+one+shot+JEE+Main+Advanced","Watch ▶")</f>
        <v/>
      </c>
      <c r="J61" s="26">
        <f>HYPERLINK("https://www.youtube.com/results?search_query=RA+Sir+Aldehydes+%26+Ketones+Carboxylic+Acids+revision+PYQ+marathon+JEE","Watch ▶")</f>
        <v/>
      </c>
    </row>
    <row r="62" ht="22" customHeight="1">
      <c r="A62" s="7" t="n"/>
      <c r="B62" s="3" t="inlineStr">
        <is>
          <t>Indefinite Integration</t>
        </is>
      </c>
      <c r="C62" s="4" t="n"/>
      <c r="D62" s="5" t="n"/>
      <c r="E62" s="4" t="n"/>
      <c r="F62" s="5" t="n"/>
      <c r="G62" s="4" t="n"/>
      <c r="H62" s="6" t="inlineStr">
        <is>
          <t>One-Shot</t>
        </is>
      </c>
      <c r="I62" s="26">
        <f>HYPERLINK("https://www.youtube.com/results?search_query=NV+Sir+Indefinite+Integration+one+shot+JEE+Main+Advanced","Watch ▶")</f>
        <v/>
      </c>
      <c r="J62" s="26">
        <f>HYPERLINK("https://www.youtube.com/results?search_query=NV+Sir+Indefinite+Integration+revision+PYQ+marathon+JEE","Watch ▶")</f>
        <v/>
      </c>
    </row>
    <row r="63" ht="22" customHeight="1">
      <c r="A63" s="23" t="n"/>
      <c r="B63" s="11" t="inlineStr">
        <is>
          <t>Definite Integration</t>
        </is>
      </c>
      <c r="C63" s="12" t="n"/>
      <c r="D63" s="13" t="n"/>
      <c r="E63" s="12" t="n"/>
      <c r="F63" s="13" t="n"/>
      <c r="G63" s="12" t="n"/>
      <c r="H63" s="15" t="inlineStr">
        <is>
          <t>One-Shot</t>
        </is>
      </c>
      <c r="I63" s="27">
        <f>HYPERLINK("https://www.youtube.com/results?search_query=NV+Sir+Definite+Integration+one+shot+JEE+Main+Advanced","Watch ▶")</f>
        <v/>
      </c>
      <c r="J63" s="27">
        <f>HYPERLINK("https://www.youtube.com/results?search_query=NV+Sir+Definite+Integration+revision+PYQ+marathon+JEE","Watch ▶")</f>
        <v/>
      </c>
    </row>
    <row r="64" ht="22" customHeight="1">
      <c r="A64" s="2" t="inlineStr">
        <is>
          <t>PART 11</t>
        </is>
      </c>
      <c r="B64" s="3" t="inlineStr">
        <is>
          <t>Atomic Physics</t>
        </is>
      </c>
      <c r="C64" s="4" t="n"/>
      <c r="D64" s="5" t="n"/>
      <c r="E64" s="4" t="n"/>
      <c r="F64" s="5" t="n"/>
      <c r="G64" s="4" t="n"/>
      <c r="H64" s="6" t="inlineStr">
        <is>
          <t>One-Shot</t>
        </is>
      </c>
      <c r="I64" s="26">
        <f>HYPERLINK("https://www.youtube.com/results?search_query=Rajwant+Sir+Atoms+one+shot+JEE+Main+Advanced","Watch ▶")</f>
        <v/>
      </c>
      <c r="J64" s="26">
        <f>HYPERLINK("https://www.youtube.com/results?search_query=Rajwant+Sir+Atoms+revision+PYQ+marathon+JEE","Watch ▶")</f>
        <v/>
      </c>
    </row>
    <row r="65" ht="22" customHeight="1">
      <c r="A65" s="7" t="n"/>
      <c r="B65" s="3" t="inlineStr">
        <is>
          <t>Nuclear Physics</t>
        </is>
      </c>
      <c r="C65" s="4" t="n"/>
      <c r="D65" s="5" t="n"/>
      <c r="E65" s="4" t="n"/>
      <c r="F65" s="5" t="n"/>
      <c r="G65" s="4" t="n"/>
      <c r="H65" s="8" t="inlineStr">
        <is>
          <t>Lectures</t>
        </is>
      </c>
      <c r="I65" s="26">
        <f>HYPERLINK("https://www.youtube.com/results?search_query=Rajwant+Sir+Nuclei+one+shot+JEE+Main+Advanced","Watch ▶")</f>
        <v/>
      </c>
      <c r="J65" s="26">
        <f>HYPERLINK("https://www.youtube.com/results?search_query=Rajwant+Sir+Nuclei+revision+PYQ+marathon+JEE","Watch ▶")</f>
        <v/>
      </c>
    </row>
    <row r="66" ht="22" customHeight="1">
      <c r="A66" s="7" t="n"/>
      <c r="B66" s="3" t="inlineStr">
        <is>
          <t>Amines and N Derivatives</t>
        </is>
      </c>
      <c r="C66" s="4" t="n"/>
      <c r="D66" s="5" t="n"/>
      <c r="E66" s="4" t="n"/>
      <c r="F66" s="5" t="n"/>
      <c r="G66" s="4" t="n"/>
      <c r="H66" s="8" t="inlineStr">
        <is>
          <t>Lectures</t>
        </is>
      </c>
      <c r="I66" s="26">
        <f>HYPERLINK("https://www.youtube.com/results?search_query=RA+Sir+Amines+%2B+Diazonium+Salts+one+shot+JEE+Main+Advanced","Watch ▶")</f>
        <v/>
      </c>
      <c r="J66" s="26">
        <f>HYPERLINK("https://www.youtube.com/results?search_query=RA+Sir+Amines+%2B+Diazonium+Salts+revision+PYQ+marathon+JEE","Watch ▶")</f>
        <v/>
      </c>
    </row>
    <row r="67" ht="22" customHeight="1">
      <c r="A67" s="7" t="n"/>
      <c r="B67" s="3" t="inlineStr">
        <is>
          <t>Biomolecules</t>
        </is>
      </c>
      <c r="C67" s="4" t="n"/>
      <c r="D67" s="5" t="n"/>
      <c r="E67" s="4" t="n"/>
      <c r="F67" s="5" t="n"/>
      <c r="G67" s="4" t="n"/>
      <c r="H67" s="6" t="inlineStr">
        <is>
          <t>One-Shot</t>
        </is>
      </c>
      <c r="I67" s="26">
        <f>HYPERLINK("https://www.youtube.com/results?search_query=RA+Sir+Biomolecules+one+shot+JEE+Main+Advanced","Watch ▶")</f>
        <v/>
      </c>
      <c r="J67" s="26">
        <f>HYPERLINK("https://www.youtube.com/results?search_query=RA+Sir+Biomolecules+revision+PYQ+marathon+JEE","Watch ▶")</f>
        <v/>
      </c>
    </row>
    <row r="68" ht="22" customHeight="1">
      <c r="A68" s="7" t="n"/>
      <c r="B68" s="3" t="inlineStr">
        <is>
          <t>Area Under Curve</t>
        </is>
      </c>
      <c r="C68" s="4" t="n"/>
      <c r="D68" s="5" t="n"/>
      <c r="E68" s="4" t="n"/>
      <c r="F68" s="5" t="n"/>
      <c r="G68" s="4" t="n"/>
      <c r="H68" s="6" t="inlineStr">
        <is>
          <t>One-Shot</t>
        </is>
      </c>
      <c r="I68" s="26">
        <f>HYPERLINK("https://www.youtube.com/results?search_query=NV+Sir+Area+Under+Curves+one+shot+JEE+Main+Advanced","Watch ▶")</f>
        <v/>
      </c>
      <c r="J68" s="26">
        <f>HYPERLINK("https://www.youtube.com/results?search_query=NV+Sir+Area+Under+Curves+revision+PYQ+marathon+JEE","Watch ▶")</f>
        <v/>
      </c>
    </row>
    <row r="69" ht="22" customHeight="1">
      <c r="A69" s="23" t="n"/>
      <c r="B69" s="11" t="inlineStr">
        <is>
          <t>Differential Equations</t>
        </is>
      </c>
      <c r="C69" s="12" t="n"/>
      <c r="D69" s="13" t="n"/>
      <c r="E69" s="12" t="n"/>
      <c r="F69" s="13" t="n"/>
      <c r="G69" s="12" t="n"/>
      <c r="H69" s="14" t="inlineStr">
        <is>
          <t>Lectures</t>
        </is>
      </c>
      <c r="I69" s="27">
        <f>HYPERLINK("https://www.youtube.com/results?search_query=NV+Sir+Differential+Equations+one+shot+JEE+Main+Advanced","Watch ▶")</f>
        <v/>
      </c>
      <c r="J69" s="27">
        <f>HYPERLINK("https://www.youtube.com/results?search_query=NV+Sir+Differential+Equations+revision+PYQ+marathon+JEE","Watch ▶")</f>
        <v/>
      </c>
    </row>
    <row r="70" ht="22" customHeight="1">
      <c r="A70" s="2" t="inlineStr">
        <is>
          <t>PART 12</t>
        </is>
      </c>
      <c r="B70" s="3" t="inlineStr">
        <is>
          <t>Semiconductor</t>
        </is>
      </c>
      <c r="C70" s="4" t="n"/>
      <c r="D70" s="5" t="n"/>
      <c r="E70" s="4" t="n"/>
      <c r="F70" s="5" t="n"/>
      <c r="G70" s="4" t="n"/>
      <c r="H70" s="6" t="inlineStr">
        <is>
          <t>One-Shot</t>
        </is>
      </c>
      <c r="I70" s="26">
        <f>HYPERLINK("https://www.youtube.com/results?search_query=Rajwant+Sir+Semiconductors+%2B+Logic+Gates+one+shot+JEE+Main+Advanced","Watch ▶")</f>
        <v/>
      </c>
      <c r="J70" s="26">
        <f>HYPERLINK("https://www.youtube.com/results?search_query=Rajwant+Sir+Semiconductors+%2B+Logic+Gates+revision+PYQ+marathon+JEE","Watch ▶")</f>
        <v/>
      </c>
    </row>
    <row r="71" ht="22" customHeight="1">
      <c r="A71" s="7" t="n"/>
      <c r="B71" s="3" t="inlineStr">
        <is>
          <t>Electromagnetic Waves and Wave Optics</t>
        </is>
      </c>
      <c r="C71" s="4" t="n"/>
      <c r="D71" s="5" t="n"/>
      <c r="E71" s="4" t="n"/>
      <c r="F71" s="5" t="n"/>
      <c r="G71" s="4" t="n"/>
      <c r="H71" s="6" t="inlineStr">
        <is>
          <t>One-Shot</t>
        </is>
      </c>
      <c r="I71" s="26">
        <f>HYPERLINK("https://www.youtube.com/results?search_query=Rajwant+Sir+Electromagnetic+Waves+Wave+Optics+one+shot+JEE+Main+Advanced","Watch ▶")</f>
        <v/>
      </c>
      <c r="J71" s="26">
        <f>HYPERLINK("https://www.youtube.com/results?search_query=Rajwant+Sir+Electromagnetic+Waves+Wave+Optics+revision+PYQ+marathon+JEE","Watch ▶")</f>
        <v/>
      </c>
    </row>
    <row r="72" ht="22" customHeight="1">
      <c r="A72" s="7" t="n"/>
      <c r="B72" s="3" t="inlineStr">
        <is>
          <t>POC</t>
        </is>
      </c>
      <c r="C72" s="4" t="n"/>
      <c r="D72" s="5" t="n"/>
      <c r="E72" s="4" t="n"/>
      <c r="F72" s="5" t="n"/>
      <c r="G72" s="4" t="n"/>
      <c r="H72" s="6" t="inlineStr">
        <is>
          <t>One-Shot</t>
        </is>
      </c>
      <c r="I72" s="26">
        <f>HYPERLINK("https://www.youtube.com/results?search_query=RA+Sir+Purification+%26+Characterisation+one+shot+JEE+Main+Advanced","Watch ▶")</f>
        <v/>
      </c>
      <c r="J72" s="26">
        <f>HYPERLINK("https://www.youtube.com/results?search_query=RA+Sir+Purification+%26+Characterisation+revision+PYQ+marathon+JEE","Watch ▶")</f>
        <v/>
      </c>
    </row>
    <row r="73" ht="22" customHeight="1">
      <c r="A73" s="7" t="n"/>
      <c r="B73" s="3" t="inlineStr">
        <is>
          <t>Dilute Solutions</t>
        </is>
      </c>
      <c r="C73" s="4" t="n"/>
      <c r="D73" s="5" t="n"/>
      <c r="E73" s="4" t="n"/>
      <c r="F73" s="5" t="n"/>
      <c r="G73" s="4" t="n"/>
      <c r="H73" s="8" t="inlineStr">
        <is>
          <t>Lectures</t>
        </is>
      </c>
      <c r="I73" s="26">
        <f>HYPERLINK("https://www.youtube.com/results?search_query=Faisal+Sir+Solutions+one+shot+JEE+Main+Advanced","Watch ▶")</f>
        <v/>
      </c>
      <c r="J73" s="26">
        <f>HYPERLINK("https://www.youtube.com/results?search_query=Faisal+Sir+Solutions+revision+PYQ+marathon+JEE","Watch ▶")</f>
        <v/>
      </c>
    </row>
    <row r="74" ht="22" customHeight="1">
      <c r="A74" s="7" t="n"/>
      <c r="B74" s="3" t="inlineStr">
        <is>
          <t>Probability</t>
        </is>
      </c>
      <c r="C74" s="4" t="n"/>
      <c r="D74" s="5" t="n"/>
      <c r="E74" s="4" t="n"/>
      <c r="F74" s="5" t="n"/>
      <c r="G74" s="4" t="n"/>
      <c r="H74" s="8" t="inlineStr">
        <is>
          <t>Lectures</t>
        </is>
      </c>
      <c r="I74" s="26">
        <f>HYPERLINK("https://www.youtube.com/results?search_query=TK+Sir+Probability+one+shot+JEE+Main+Advanced","Watch ▶")</f>
        <v/>
      </c>
      <c r="J74" s="26">
        <f>HYPERLINK("https://www.youtube.com/results?search_query=TK+Sir+Probability+revision+PYQ+marathon+JEE","Watch ▶")</f>
        <v/>
      </c>
    </row>
    <row r="75" ht="22" customHeight="1">
      <c r="A75" s="23" t="n"/>
      <c r="B75" s="11" t="inlineStr">
        <is>
          <t>Vector Algebra</t>
        </is>
      </c>
      <c r="C75" s="12" t="n"/>
      <c r="D75" s="13" t="n"/>
      <c r="E75" s="12" t="n"/>
      <c r="F75" s="13" t="n"/>
      <c r="G75" s="12" t="n"/>
      <c r="H75" s="14" t="inlineStr">
        <is>
          <t>Lectures</t>
        </is>
      </c>
      <c r="I75" s="27">
        <f>HYPERLINK("https://www.youtube.com/results?search_query=NV+Sir+Vector+Algebra+one+shot+JEE+Main+Advanced","Watch ▶")</f>
        <v/>
      </c>
      <c r="J75" s="27">
        <f>HYPERLINK("https://www.youtube.com/results?search_query=NV+Sir+Vector+Algebra+revision+PYQ+marathon+JEE","Watch ▶")</f>
        <v/>
      </c>
    </row>
    <row r="76" ht="22" customHeight="1">
      <c r="A76" s="2" t="inlineStr">
        <is>
          <t>PART 13</t>
        </is>
      </c>
      <c r="B76" s="3" t="inlineStr">
        <is>
          <t>Ray Optics</t>
        </is>
      </c>
      <c r="C76" s="4" t="n"/>
      <c r="D76" s="5" t="n"/>
      <c r="E76" s="4" t="n"/>
      <c r="F76" s="5" t="n"/>
      <c r="G76" s="4" t="n"/>
      <c r="H76" s="8" t="inlineStr">
        <is>
          <t>Lectures</t>
        </is>
      </c>
      <c r="I76" s="26">
        <f>HYPERLINK("https://www.youtube.com/results?search_query=Rajwant+Sir+Ray+Optics+%2B+Optical+Instruments+one+shot+JEE+Main+Advanced","Watch ▶")</f>
        <v/>
      </c>
      <c r="J76" s="26">
        <f>HYPERLINK("https://www.youtube.com/results?search_query=Rajwant+Sir+Ray+Optics+%2B+Optical+Instruments+revision+PYQ+marathon+JEE","Watch ▶")</f>
        <v/>
      </c>
    </row>
    <row r="77" ht="22" customHeight="1">
      <c r="A77" s="7" t="n"/>
      <c r="B77" s="3" t="inlineStr">
        <is>
          <t>Electrochemistry</t>
        </is>
      </c>
      <c r="C77" s="4" t="n"/>
      <c r="D77" s="5" t="n"/>
      <c r="E77" s="4" t="n"/>
      <c r="F77" s="5" t="n"/>
      <c r="G77" s="4" t="n"/>
      <c r="H77" s="8" t="inlineStr">
        <is>
          <t>Lectures</t>
        </is>
      </c>
      <c r="I77" s="26">
        <f>HYPERLINK("https://www.youtube.com/results?search_query=Faisal+Sir+Electrochemistry+one+shot+JEE+Main+Advanced","Watch ▶")</f>
        <v/>
      </c>
      <c r="J77" s="26">
        <f>HYPERLINK("https://www.youtube.com/results?search_query=Faisal+Sir+Electrochemistry+revision+PYQ+marathon+JEE","Watch ▶")</f>
        <v/>
      </c>
    </row>
    <row r="78" ht="22" customHeight="1">
      <c r="A78" s="7" t="n"/>
      <c r="B78" s="3" t="inlineStr">
        <is>
          <t>Chemical Kinetics</t>
        </is>
      </c>
      <c r="C78" s="4" t="n"/>
      <c r="D78" s="5" t="n"/>
      <c r="E78" s="4" t="n"/>
      <c r="F78" s="5" t="n"/>
      <c r="G78" s="4" t="n"/>
      <c r="H78" s="6" t="inlineStr">
        <is>
          <t>One-Shot</t>
        </is>
      </c>
      <c r="I78" s="26">
        <f>HYPERLINK("https://www.youtube.com/results?search_query=Faisal+Sir+Chemical+Kinetics+one+shot+JEE+Main+Advanced","Watch ▶")</f>
        <v/>
      </c>
      <c r="J78" s="26">
        <f>HYPERLINK("https://www.youtube.com/results?search_query=Faisal+Sir+Chemical+Kinetics+revision+PYQ+marathon+JEE","Watch ▶")</f>
        <v/>
      </c>
    </row>
    <row r="79" ht="22" customHeight="1">
      <c r="A79" s="7" t="n"/>
      <c r="B79" s="3" t="inlineStr">
        <is>
          <t>3-D Geometry</t>
        </is>
      </c>
      <c r="C79" s="4" t="n"/>
      <c r="D79" s="5" t="n"/>
      <c r="E79" s="4" t="n"/>
      <c r="F79" s="5" t="n"/>
      <c r="G79" s="4" t="n"/>
      <c r="H79" s="8" t="inlineStr">
        <is>
          <t>Lectures</t>
        </is>
      </c>
      <c r="I79" s="26">
        <f>HYPERLINK("https://www.youtube.com/results?search_query=NV+Sir+3D+Geometry+one+shot+JEE+Main+Advanced","Watch ▶")</f>
        <v/>
      </c>
      <c r="J79" s="26">
        <f>HYPERLINK("https://www.youtube.com/results?search_query=NV+Sir+3D+Geometry+revision+PYQ+marathon+JEE","Watch ▶")</f>
        <v/>
      </c>
    </row>
    <row r="80" ht="22" customHeight="1">
      <c r="A80" s="23" t="n"/>
      <c r="B80" s="11" t="inlineStr">
        <is>
          <t>Matrices and Determinants</t>
        </is>
      </c>
      <c r="C80" s="12" t="n"/>
      <c r="D80" s="13" t="n"/>
      <c r="E80" s="12" t="n"/>
      <c r="F80" s="13" t="n"/>
      <c r="G80" s="12" t="n"/>
      <c r="H80" s="14" t="inlineStr">
        <is>
          <t>Lectures</t>
        </is>
      </c>
      <c r="I80" s="27">
        <f>HYPERLINK("https://www.youtube.com/results?search_query=TK+Sir+Matrices+Determinants+one+shot+JEE+Main+Advanced","Watch ▶")</f>
        <v/>
      </c>
      <c r="J80" s="27">
        <f>HYPERLINK("https://www.youtube.com/results?search_query=TK+Sir+Matrices+Determinants+revision+PYQ+marathon+JEE","Watch ▶")</f>
        <v/>
      </c>
    </row>
    <row r="82">
      <c r="A82" s="16" t="inlineStr">
        <is>
          <t>Legend:</t>
        </is>
      </c>
      <c r="B82" s="17" t="inlineStr">
        <is>
          <t>Lectures</t>
        </is>
      </c>
      <c r="C82" s="18" t="inlineStr">
        <is>
          <t>One-Shot (Long)</t>
        </is>
      </c>
      <c r="D82" s="19" t="inlineStr">
        <is>
          <t>One-Shot</t>
        </is>
      </c>
    </row>
    <row r="84" ht="30" customHeight="1">
      <c r="A84" s="25" t="inlineStr">
        <is>
          <t>Study Mode is based on the JEE Nerds “One-Shot vs Complete Lectures” guide. Chapters the guide didn't cover are defaulted to One-Shot. Link columns open a YouTube search for that chapter (teacher names from the teacher-map PDF). Click “Watch ▶” (Ctrl+click in LibreOffice).</t>
        </is>
      </c>
    </row>
  </sheetData>
  <mergeCells count="14">
    <mergeCell ref="A58:A63"/>
    <mergeCell ref="A22:A27"/>
    <mergeCell ref="A40:A45"/>
    <mergeCell ref="A52:A57"/>
    <mergeCell ref="A70:A75"/>
    <mergeCell ref="A84:J84"/>
    <mergeCell ref="A9:A15"/>
    <mergeCell ref="A64:A69"/>
    <mergeCell ref="A46:A51"/>
    <mergeCell ref="A16:A21"/>
    <mergeCell ref="A34:A39"/>
    <mergeCell ref="A2:A8"/>
    <mergeCell ref="A28:A33"/>
    <mergeCell ref="A76:A8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2026-09-20T20:13:43Z</dcterms:created>
  <dcterms:modified xmlns:dcterms="http://purl.org/dc/terms/" xmlns:xsi="http://www.w3.org/2001/XMLSchema-instance" xsi:type="dcterms:W3CDTF">2026-10-10T09:47:40Z</dcterms:modified>
</cp:coreProperties>
</file>